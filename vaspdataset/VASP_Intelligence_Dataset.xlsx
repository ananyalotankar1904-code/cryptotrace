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879327d6b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dresses" sheetId="1" r:id="R63d3559ce224405c"/>
    <x:sheet xmlns:r="http://schemas.openxmlformats.org/officeDocument/2006/relationships" name="Rules" sheetId="2" r:id="R333aff20f27b4d36"/>
    <x:sheet xmlns:r="http://schemas.openxmlformats.org/officeDocument/2006/relationships" name="Confidence" sheetId="3" r:id="R4386f92ee3a04883"/>
    <x:sheet xmlns:r="http://schemas.openxmlformats.org/officeDocument/2006/relationships" name="Sources" sheetId="4" r:id="R0c22f94ae4474742"/>
    <x:sheet xmlns:r="http://schemas.openxmlformats.org/officeDocument/2006/relationships" name="Limitations" sheetId="5" r:id="Rcea135fcb67347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74C77"/>
      <x:name val="Carlito"/>
    </x:font>
    <x:font>
      <x:b/>
      <x:sz val="11"/>
      <x:color rgb="FFFFFFFF"/>
      <x:name val="Carlito"/>
    </x:font>
    <x:font>
      <x:b/>
      <x:sz val="11"/>
      <x:color rgb="FF1B5E20"/>
      <x:name val="Carlito"/>
    </x:font>
    <x:font>
      <x:b/>
      <x:sz val="11"/>
      <x:color rgb="FF7A5600"/>
      <x:name val="Carlito"/>
    </x:font>
    <x:font>
      <x:b/>
      <x:sz val="11"/>
      <x:color rgb="FF9B1C1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F6B"/>
      </x:patternFill>
    </x:fill>
    <x:fill>
      <x:patternFill patternType="solid">
        <x:fgColor rgb="FFEAF3FC"/>
      </x:patternFill>
    </x:fill>
    <x:fill>
      <x:patternFill patternType="solid">
        <x:fgColor rgb="FF1E88E5"/>
      </x:patternFill>
    </x:fill>
    <x:fill>
      <x:patternFill patternType="solid">
        <x:fgColor rgb="FFE8F5E9"/>
      </x:patternFill>
    </x:fill>
    <x:fill>
      <x:patternFill patternType="solid">
        <x:fgColor rgb="FFFFF4CC"/>
      </x:patternFill>
    </x:fill>
    <x:fill>
      <x:patternFill patternType="solid">
        <x:fgColor rgb="FFFDECEA"/>
      </x:patternFill>
    </x:fill>
  </x:fills>
  <x:borders count="10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  <x:right style="thin">
        <x:color rgb="FFD6DEE8"/>
      </x:right>
      <x:top style="thin">
        <x:color rgb="FFD6DEE8"/>
      </x:top>
    </x:border>
    <x:border>
      <x:left style="thin">
        <x:color rgb="FFD6DEE8"/>
      </x:left>
      <x:top style="thin">
        <x:color rgb="FFD6DEE8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horizontal="left" vertical="center"/>
    </x:xf>
    <x:xf numFmtId="0" fontId="1" fillId="2" borderId="7" xfId="0" applyNumberFormat="1" applyFont="1" applyFill="1" applyBorder="1" applyAlignment="1">
      <x:alignment horizontal="left"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B5E20"/>
      </x:font>
      <x:fill>
        <x:patternFill patternType="solid">
          <x:bgColor rgb="FFE8F5E9"/>
        </x:patternFill>
      </x:fill>
    </x:dxf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0e9447e7614c79" /><Relationship Type="http://schemas.openxmlformats.org/officeDocument/2006/relationships/theme" Target="/xl/theme/theme1.xml" Id="Rbc995a462bbc450b" /><Relationship Type="http://schemas.openxmlformats.org/officeDocument/2006/relationships/sharedStrings" Target="/xl/sharedStrings.xml" Id="Rbd19a6b394614044" /><Relationship Type="http://schemas.openxmlformats.org/officeDocument/2006/relationships/worksheet" Target="/xl/worksheets/sheet1.xml" Id="R63d3559ce224405c" /><Relationship Type="http://schemas.openxmlformats.org/officeDocument/2006/relationships/worksheet" Target="/xl/worksheets/sheet2.xml" Id="R333aff20f27b4d36" /><Relationship Type="http://schemas.openxmlformats.org/officeDocument/2006/relationships/worksheet" Target="/xl/worksheets/sheet3.xml" Id="R4386f92ee3a04883" /><Relationship Type="http://schemas.openxmlformats.org/officeDocument/2006/relationships/worksheet" Target="/xl/worksheets/sheet4.xml" Id="R0c22f94ae4474742" /><Relationship Type="http://schemas.openxmlformats.org/officeDocument/2006/relationships/worksheet" Target="/xl/worksheets/sheet5.xml" Id="Rcea135fcb673478d" /></Relationships>
</file>

<file path=xl/tables/table1.xml><?xml version="1.0" encoding="utf-8"?>
<x:table xmlns:x="http://schemas.openxmlformats.org/spreadsheetml/2006/main" id="1" name="VaspAddressesTable" displayName="VaspAddressesTable" ref="A4:N11" headerRowCount="1" totalsRowCount="0" totalsRowShown="0">
  <x:tableColumns count="14">
    <x:tableColumn id="1" name="Record ID"/>
    <x:tableColumn id="2" name="VASP / Exchange"/>
    <x:tableColumn id="3" name="Entity Type"/>
    <x:tableColumn id="4" name="Blockchain"/>
    <x:tableColumn id="5" name="Wallet Address"/>
    <x:tableColumn id="6" name="Address Type"/>
    <x:tableColumn id="7" name="Attribution Status"/>
    <x:tableColumn id="8" name="Confidence"/>
    <x:tableColumn id="9" name="Confidence Score"/>
    <x:tableColumn id="10" name="Source"/>
    <x:tableColumn id="11" name="Source URL"/>
    <x:tableColumn id="12" name="Source Date"/>
    <x:tableColumn id="13" name="Last Verified"/>
    <x:tableColumn id="14" name="Notes /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tributionRulesTable" displayName="AttributionRulesTable" ref="A4:D9" headerRowCount="1" totalsRowCount="0" totalsRowShown="0">
  <x:tableColumns count="4">
    <x:tableColumn id="1" name="Rule ID"/>
    <x:tableColumn id="2" name="Match Type"/>
    <x:tableColumn id="3" name="Condition"/>
    <x:tableColumn id="4" name="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fidenceCategoriesTable" displayName="ConfidenceCategoriesTable" ref="A4:B10" headerRowCount="1" totalsRowCount="0" totalsRowShown="0">
  <x:tableColumns count="2">
    <x:tableColumn id="1" name="Category"/>
    <x:tableColumn id="2" name="Mean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4:H11" headerRowCount="1" totalsRowCount="0" totalsRowShown="0">
  <x:tableColumns count="8">
    <x:tableColumn id="1" name="Record ID"/>
    <x:tableColumn id="2" name="Entity"/>
    <x:tableColumn id="3" name="Address"/>
    <x:tableColumn id="4" name="Source"/>
    <x:tableColumn id="5" name="Source URL"/>
    <x:tableColumn id="6" name="Source Date"/>
    <x:tableColumn id="7" name="Last Verified"/>
    <x:tableColumn id="8" name="Evidence Summa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imitationsTable" displayName="LimitationsTable" ref="A4:B10" headerRowCount="1" totalsRowCount="0" totalsRowShown="0">
  <x:tableColumns count="2">
    <x:tableColumn id="1" name="#"/>
    <x:tableColumn id="2" name="Limitation / Bound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8c978ef69145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7ea869cb1046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d62947b4da43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dcf32f13e6a40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19ab932a17a42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12" hidden="0" customWidth="1"/>
    <x:col min="5" max="5" width="45" hidden="0" customWidth="1"/>
    <x:col min="6" max="6" width="18" hidden="0" customWidth="1"/>
    <x:col min="7" max="7" width="20" hidden="0" customWidth="1"/>
    <x:col min="8" max="8" width="12" hidden="0" customWidth="1"/>
    <x:col min="9" max="9" width="14" hidden="0" customWidth="1"/>
    <x:col min="10" max="10" width="14" hidden="0" customWidth="1"/>
    <x:col min="11" max="11" width="55" hidden="0" customWidth="1"/>
    <x:col min="12" max="12" width="14" hidden="0" customWidth="1"/>
    <x:col min="13" max="13" width="16" hidden="0" customWidth="1"/>
    <x:col min="14" max="14" width="60" hidden="0" customWidth="1"/>
  </x:cols>
  <x:sheetData>
    <x:row r="1" ht="28" customHeight="1">
      <x:c r="A1" s="4" t="str">
        <x:v>VASP Intelligence Dataset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2" customHeight="1">
      <x:c r="A2" s="8" t="str">
        <x:v>Ethereum seed labels | Seven source-backed addresses for direct prototype matching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2" customHeight="1">
      <x:c r="A4" s="14" t="str">
        <x:v>Record ID</x:v>
      </x:c>
      <x:c r="B4" s="14" t="str">
        <x:v>VASP / Exchange</x:v>
      </x:c>
      <x:c r="C4" s="14" t="str">
        <x:v>Entity Type</x:v>
      </x:c>
      <x:c r="D4" s="14" t="str">
        <x:v>Blockchain</x:v>
      </x:c>
      <x:c r="E4" s="14" t="str">
        <x:v>Wallet Address</x:v>
      </x:c>
      <x:c r="F4" s="14" t="str">
        <x:v>Address Type</x:v>
      </x:c>
      <x:c r="G4" s="14" t="str">
        <x:v>Attribution Status</x:v>
      </x:c>
      <x:c r="H4" s="14" t="str">
        <x:v>Confidence</x:v>
      </x:c>
      <x:c r="I4" s="14" t="str">
        <x:v>Confidence Score</x:v>
      </x:c>
      <x:c r="J4" s="14" t="str">
        <x:v>Source</x:v>
      </x:c>
      <x:c r="K4" s="14" t="str">
        <x:v>Source URL</x:v>
      </x:c>
      <x:c r="L4" s="14" t="str">
        <x:v>Source Date</x:v>
      </x:c>
      <x:c r="M4" s="14" t="str">
        <x:v>Last Verified</x:v>
      </x:c>
      <x:c r="N4" s="14" t="str">
        <x:v>Notes / Evidence</x:v>
      </x:c>
    </x:row>
    <x:row r="5">
      <x:c r="A5" s="40" t="str">
        <x:v>eth-binance-14</x:v>
      </x:c>
      <x:c r="B5" s="41" t="str">
        <x:v>Binance</x:v>
      </x:c>
      <x:c r="C5" s="41" t="str">
        <x:v>VASP</x:v>
      </x:c>
      <x:c r="D5" s="41" t="str">
        <x:v>ethereum</x:v>
      </x:c>
      <x:c r="E5" s="42" t="str">
        <x:f>"0x28c6c06298d514db089934071355e5743bf21d60"</x:f>
        <x:v>0x28c6c06298d514db089934071355e5743bf21d60</x:v>
      </x:c>
      <x:c r="F5" s="41" t="str">
        <x:v>exchange_wallet</x:v>
      </x:c>
      <x:c r="G5" s="41" t="str">
        <x:v>known_verified</x:v>
      </x:c>
      <x:c r="H5" s="41" t="str">
        <x:v>high</x:v>
      </x:c>
      <x:c r="I5" s="52" t="n">
        <x:v>0.9</x:v>
      </x:c>
      <x:c r="J5" s="42" t="str">
        <x:v>Etherscan</x:v>
      </x:c>
      <x:c r="K5" s="42" t="str">
        <x:v>https://etherscan.io/address/0x28c6c06298d514db089934071355e5743bf21d60?amt=gt0</x:v>
      </x:c>
      <x:c r="L5" s="42"/>
      <x:c r="M5" s="42" t="str">
        <x:v>2026-08-31</x:v>
      </x:c>
      <x:c r="N5" s="43" t="str">
        <x:v>Etherscan labels it Binance 14 and Binance / Exchange; this identifies the service, not a customer.</x:v>
      </x:c>
    </x:row>
    <x:row r="6">
      <x:c r="A6" s="44" t="str">
        <x:v>eth-binance-deposit-e678</x:v>
      </x:c>
      <x:c r="B6" s="45" t="str">
        <x:v>Binance</x:v>
      </x:c>
      <x:c r="C6" s="45" t="str">
        <x:v>VASP</x:v>
      </x:c>
      <x:c r="D6" s="45" t="str">
        <x:v>ethereum</x:v>
      </x:c>
      <x:c r="E6" s="46" t="str">
        <x:f>"0xe67821b76985007b4cf744b0f045c8933b3e91d9"</x:f>
        <x:v>0xe67821b76985007b4cf744b0f045c8933b3e91d9</x:v>
      </x:c>
      <x:c r="F6" s="45" t="str">
        <x:v>deposit_address</x:v>
      </x:c>
      <x:c r="G6" s="45" t="str">
        <x:v>known_verified</x:v>
      </x:c>
      <x:c r="H6" s="45" t="str">
        <x:v>high</x:v>
      </x:c>
      <x:c r="I6" s="53" t="n">
        <x:v>0.9</x:v>
      </x:c>
      <x:c r="J6" s="46" t="str">
        <x:v>Etherscan</x:v>
      </x:c>
      <x:c r="K6" s="46" t="str">
        <x:v>https://etherscan.io/address/0xe67821b76985007b4cf744b0f045c8933b3e91d9?amt=1-1k</x:v>
      </x:c>
      <x:c r="L6" s="46"/>
      <x:c r="M6" s="46" t="str">
        <x:v>2026-08-31</x:v>
      </x:c>
      <x:c r="N6" s="47" t="str">
        <x:v>Etherscan labels it Binance Deposit; this is a deposit endpoint, not a customer identity.</x:v>
      </x:c>
    </x:row>
    <x:row r="7">
      <x:c r="A7" s="44" t="str">
        <x:v>eth-coinbase-12</x:v>
      </x:c>
      <x:c r="B7" s="45" t="str">
        <x:v>Coinbase</x:v>
      </x:c>
      <x:c r="C7" s="45" t="str">
        <x:v>VASP</x:v>
      </x:c>
      <x:c r="D7" s="45" t="str">
        <x:v>ethereum</x:v>
      </x:c>
      <x:c r="E7" s="46" t="str">
        <x:f>"0x503828976d22510aad0201ac7ec88293211d23da"</x:f>
        <x:v>0x503828976d22510aad0201ac7ec88293211d23da</x:v>
      </x:c>
      <x:c r="F7" s="45" t="str">
        <x:v>exchange_wallet</x:v>
      </x:c>
      <x:c r="G7" s="45" t="str">
        <x:v>known_verified</x:v>
      </x:c>
      <x:c r="H7" s="45" t="str">
        <x:v>high</x:v>
      </x:c>
      <x:c r="I7" s="53" t="n">
        <x:v>0.9</x:v>
      </x:c>
      <x:c r="J7" s="46" t="str">
        <x:v>Etherscan</x:v>
      </x:c>
      <x:c r="K7" s="46" t="str">
        <x:v>https://etherscan.io/address/0x503828976d22510aad0201ac7ec88293211d23da?age=1H&amp;amt=1-1m</x:v>
      </x:c>
      <x:c r="L7" s="46"/>
      <x:c r="M7" s="46" t="str">
        <x:v>2026-08-31</x:v>
      </x:c>
      <x:c r="N7" s="47" t="str">
        <x:v>Etherscan labels it Coinbase 12 and Coinbase / Exchange (also Fiat Gateway).</x:v>
      </x:c>
    </x:row>
    <x:row r="8">
      <x:c r="A8" s="44" t="str">
        <x:v>eth-kucoin-1</x:v>
      </x:c>
      <x:c r="B8" s="45" t="str">
        <x:v>KuCoin</x:v>
      </x:c>
      <x:c r="C8" s="45" t="str">
        <x:v>VASP</x:v>
      </x:c>
      <x:c r="D8" s="45" t="str">
        <x:v>ethereum</x:v>
      </x:c>
      <x:c r="E8" s="46" t="str">
        <x:f>"0x2b5634c42055806a59e9107ed44d43c426e58258"</x:f>
        <x:v>0x2b5634c42055806a59e9107ed44d43c426e58258</x:v>
      </x:c>
      <x:c r="F8" s="45" t="str">
        <x:v>exchange_wallet</x:v>
      </x:c>
      <x:c r="G8" s="45" t="str">
        <x:v>known_verified</x:v>
      </x:c>
      <x:c r="H8" s="45" t="str">
        <x:v>high</x:v>
      </x:c>
      <x:c r="I8" s="53" t="n">
        <x:v>0.9</x:v>
      </x:c>
      <x:c r="J8" s="46" t="str">
        <x:v>Etherscan</x:v>
      </x:c>
      <x:c r="K8" s="46" t="str">
        <x:v>https://etherscan.io/address/0x2b5634c42055806a59e9107ed44d43c426e58258?amt=1-1m</x:v>
      </x:c>
      <x:c r="L8" s="46"/>
      <x:c r="M8" s="46" t="str">
        <x:v>2026-08-31</x:v>
      </x:c>
      <x:c r="N8" s="47" t="str">
        <x:v>Etherscan labels it KuCoin 1 and KuCoin / Exchange.</x:v>
      </x:c>
    </x:row>
    <x:row r="9">
      <x:c r="A9" s="44" t="str">
        <x:v>eth-htx-1</x:v>
      </x:c>
      <x:c r="B9" s="45" t="str">
        <x:v>HTX</x:v>
      </x:c>
      <x:c r="C9" s="45" t="str">
        <x:v>VASP</x:v>
      </x:c>
      <x:c r="D9" s="45" t="str">
        <x:v>ethereum</x:v>
      </x:c>
      <x:c r="E9" s="46" t="str">
        <x:f>"0xab5c66752a9e8167967685f1450532fb96d5d24f"</x:f>
        <x:v>0xab5c66752a9e8167967685f1450532fb96d5d24f</x:v>
      </x:c>
      <x:c r="F9" s="45" t="str">
        <x:v>exchange_wallet</x:v>
      </x:c>
      <x:c r="G9" s="45" t="str">
        <x:v>known_verified</x:v>
      </x:c>
      <x:c r="H9" s="45" t="str">
        <x:v>high</x:v>
      </x:c>
      <x:c r="I9" s="53" t="n">
        <x:v>0.9</x:v>
      </x:c>
      <x:c r="J9" s="46" t="str">
        <x:v>Etherscan</x:v>
      </x:c>
      <x:c r="K9" s="46" t="str">
        <x:v>https://etherscan.io/address/0xab5c66752a9e8167967685f1450532fb96d5d24f</x:v>
      </x:c>
      <x:c r="L9" s="46"/>
      <x:c r="M9" s="46" t="str">
        <x:v>2026-08-31</x:v>
      </x:c>
      <x:c r="N9" s="47" t="str">
        <x:v>Etherscan labels it HTX 1; HTX is the current name of Huobi.</x:v>
      </x:c>
    </x:row>
    <x:row r="10">
      <x:c r="A10" s="44" t="str">
        <x:v>eth-bitfinex-3</x:v>
      </x:c>
      <x:c r="B10" s="45" t="str">
        <x:v>Bitfinex</x:v>
      </x:c>
      <x:c r="C10" s="45" t="str">
        <x:v>VASP</x:v>
      </x:c>
      <x:c r="D10" s="45" t="str">
        <x:v>ethereum</x:v>
      </x:c>
      <x:c r="E10" s="46" t="str">
        <x:f>"0x876eabf441b2ee5b5b0554fd502a8e0600950cfa"</x:f>
        <x:v>0x876eabf441b2ee5b5b0554fd502a8e0600950cfa</x:v>
      </x:c>
      <x:c r="F10" s="45" t="str">
        <x:v>exchange_wallet</x:v>
      </x:c>
      <x:c r="G10" s="45" t="str">
        <x:v>known_verified</x:v>
      </x:c>
      <x:c r="H10" s="45" t="str">
        <x:v>high</x:v>
      </x:c>
      <x:c r="I10" s="53" t="n">
        <x:v>0.9</x:v>
      </x:c>
      <x:c r="J10" s="46" t="str">
        <x:v>Etherscan</x:v>
      </x:c>
      <x:c r="K10" s="46" t="str">
        <x:v>https://etherscan.io/address/0x876eabf441b2ee5b5b0554fd502a8e0600950cfa?age=1H&amp;amt=1-10k</x:v>
      </x:c>
      <x:c r="L10" s="46"/>
      <x:c r="M10" s="46" t="str">
        <x:v>2026-08-31</x:v>
      </x:c>
      <x:c r="N10" s="47" t="str">
        <x:v>Etherscan labels it Bitfinex 3 and Bitfinex / Exchange.</x:v>
      </x:c>
    </x:row>
    <x:row r="11">
      <x:c r="A11" s="48" t="str">
        <x:v>eth-gate-deposit-0d07</x:v>
      </x:c>
      <x:c r="B11" s="49" t="str">
        <x:v>Gate.io</x:v>
      </x:c>
      <x:c r="C11" s="49" t="str">
        <x:v>VASP</x:v>
      </x:c>
      <x:c r="D11" s="49" t="str">
        <x:v>ethereum</x:v>
      </x:c>
      <x:c r="E11" s="50" t="str">
        <x:f>"0x0d0707963952f2fba59dd06f2b425ace40b492fe"</x:f>
        <x:v>0x0d0707963952f2fba59dd06f2b425ace40b492fe</x:v>
      </x:c>
      <x:c r="F11" s="49" t="str">
        <x:v>deposit_address</x:v>
      </x:c>
      <x:c r="G11" s="49" t="str">
        <x:v>known_verified</x:v>
      </x:c>
      <x:c r="H11" s="49" t="str">
        <x:v>high</x:v>
      </x:c>
      <x:c r="I11" s="54" t="n">
        <x:v>0.9</x:v>
      </x:c>
      <x:c r="J11" s="50" t="str">
        <x:v>Etherscan</x:v>
      </x:c>
      <x:c r="K11" s="50" t="str">
        <x:v>https://etherscan.io/address/0x0d0707963952f2fba59dd06f2b425ace40b492fe?amt=1-100k</x:v>
      </x:c>
      <x:c r="L11" s="50"/>
      <x:c r="M11" s="50" t="str">
        <x:v>2026-08-31</x:v>
      </x:c>
      <x:c r="N11" s="51" t="str">
        <x:v>Etherscan labels it Gate Deposit; this is a deposit endpoint, not a customer identity.</x:v>
      </x:c>
    </x:row>
  </x:sheetData>
  <x:mergeCells>
    <x:mergeCell ref="A1:N1"/>
    <x:mergeCell ref="A2:N2"/>
  </x:mergeCells>
  <x:conditionalFormatting sqref="H5:H11">
    <x:cfRule type="containsText" dxfId="0" priority="1" operator="containsText" text="high"/>
  </x:conditionalFormatting>
  <x:conditionalFormatting sqref="F5:F11">
    <x:cfRule type="containsText" dxfId="1" priority="2" operator="containsText" text="deposit_address"/>
  </x:conditionalFormatting>
  <x:pageMargins left="0.7" right="0.7" top="0.75" bottom="0.75" header="0.3" footer="0.3"/>
  <x:tableParts count="1">
    <x:tablePart xmlns:r="http://schemas.openxmlformats.org/officeDocument/2006/relationships" r:id="R228c978ef69145f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62" hidden="0" customWidth="1"/>
    <x:col min="4" max="4" width="72" hidden="0" customWidth="1"/>
  </x:cols>
  <x:sheetData>
    <x:row r="1" ht="28" customHeight="1">
      <x:c r="A1" s="4" t="str">
        <x:v>Attribution Rules</x:v>
      </x:c>
      <x:c r="B1" s="4"/>
      <x:c r="C1" s="4"/>
      <x:c r="D1" s="4"/>
    </x:row>
    <x:row r="2" ht="32" customHeight="1">
      <x:c r="A2" s="8" t="str">
        <x:v>Tiny decision sheet for the backend and analytics prototype.</x:v>
      </x:c>
      <x:c r="B2" s="8"/>
      <x:c r="C2" s="8"/>
      <x:c r="D2" s="8"/>
    </x:row>
    <x:row r="4" ht="32" customHeight="1">
      <x:c r="A4" s="14" t="str">
        <x:v>Rule ID</x:v>
      </x:c>
      <x:c r="B4" s="14" t="str">
        <x:v>Match Type</x:v>
      </x:c>
      <x:c r="C4" s="14" t="str">
        <x:v>Condition</x:v>
      </x:c>
      <x:c r="D4" s="14" t="str">
        <x:v>Result</x:v>
      </x:c>
    </x:row>
    <x:row r="5">
      <x:c r="A5" s="40" t="str">
        <x:v>R01</x:v>
      </x:c>
      <x:c r="B5" s="41" t="str">
        <x:v>Exact verified match</x:v>
      </x:c>
      <x:c r="C5" s="41" t="str">
        <x:v>Destination address exactly matches a known_verified address on Ethereum.</x:v>
      </x:c>
      <x:c r="D5" s="43" t="str">
        <x:v>Return VASP, confidence high, and retained source evidence.</x:v>
      </x:c>
    </x:row>
    <x:row r="6">
      <x:c r="A6" s="44" t="str">
        <x:v>R02</x:v>
      </x:c>
      <x:c r="B6" s="45" t="str">
        <x:v>Known cluster or strong support</x:v>
      </x:c>
      <x:c r="C6" s="45" t="str">
        <x:v>Reliable supporting evidence links the destination to a known VASP cluster, but there is no exact verified record.</x:v>
      </x:c>
      <x:c r="D6" s="47" t="str">
        <x:v>Return possible VASP, confidence medium_high; flag as probable_inferred.</x:v>
      </x:c>
    </x:row>
    <x:row r="7">
      <x:c r="A7" s="44" t="str">
        <x:v>R03</x:v>
      </x:c>
      <x:c r="B7" s="45" t="str">
        <x:v>Behavioral inference only</x:v>
      </x:c>
      <x:c r="C7" s="45" t="str">
        <x:v>Only transaction patterns or heuristics suggest a VASP relationship.</x:v>
      </x:c>
      <x:c r="D7" s="47" t="str">
        <x:v>Return possible VASP, confidence medium or low; never mark known_verified.</x:v>
      </x:c>
    </x:row>
    <x:row r="8">
      <x:c r="A8" s="44" t="str">
        <x:v>R04</x:v>
      </x:c>
      <x:c r="B8" s="45" t="str">
        <x:v>No match</x:v>
      </x:c>
      <x:c r="C8" s="45" t="str">
        <x:v>No exact record or sufficient supporting evidence exists.</x:v>
      </x:c>
      <x:c r="D8" s="47" t="str">
        <x:v>Return likely_vasp null and confidence unknown.</x:v>
      </x:c>
    </x:row>
    <x:row r="9">
      <x:c r="A9" s="48" t="str">
        <x:v>R05</x:v>
      </x:c>
      <x:c r="B9" s="49" t="str">
        <x:v>Conflicting evidence</x:v>
      </x:c>
      <x:c r="C9" s="49" t="str">
        <x:v>Sources name different entities for the same destination address.</x:v>
      </x:c>
      <x:c r="D9" s="51" t="str">
        <x:v>Return confidence manual_review and preserve all evidence; do not choose a VASP automatically.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c7ea869cb1046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28" customHeight="1">
      <x:c r="A1" s="4" t="str">
        <x:v>Recommended Confidence Categories</x:v>
      </x:c>
      <x:c r="B1" s="4"/>
    </x:row>
    <x:row r="2" ht="32" customHeight="1">
      <x:c r="A2" s="8" t="str">
        <x:v>Confidence describes address-to-entity evidence, not the identity of a customer or person.</x:v>
      </x:c>
      <x:c r="B2" s="8"/>
    </x:row>
    <x:row r="4" ht="32" customHeight="1">
      <x:c r="A4" s="14" t="str">
        <x:v>Category</x:v>
      </x:c>
      <x:c r="B4" s="14" t="str">
        <x:v>Meaning</x:v>
      </x:c>
    </x:row>
    <x:row r="5">
      <x:c r="A5" s="56" t="str">
        <x:v>high</x:v>
      </x:c>
      <x:c r="B5" s="43" t="str">
        <x:v>Exact match with an active, source-backed verified address.</x:v>
      </x:c>
    </x:row>
    <x:row r="6">
      <x:c r="A6" s="44" t="str">
        <x:v>medium_high</x:v>
      </x:c>
      <x:c r="B6" s="47" t="str">
        <x:v>Known cluster or strong supporting evidence, but not a direct verified address match.</x:v>
      </x:c>
    </x:row>
    <x:row r="7">
      <x:c r="A7" s="44" t="str">
        <x:v>medium</x:v>
      </x:c>
      <x:c r="B7" s="47" t="str">
        <x:v>Behavioral or pattern evidence with meaningful limitations.</x:v>
      </x:c>
    </x:row>
    <x:row r="8">
      <x:c r="A8" s="58" t="str">
        <x:v>low</x:v>
      </x:c>
      <x:c r="B8" s="47" t="str">
        <x:v>Weak indirect evidence; present as a lead only.</x:v>
      </x:c>
    </x:row>
    <x:row r="9">
      <x:c r="A9" s="61" t="str">
        <x:v>unknown</x:v>
      </x:c>
      <x:c r="B9" s="47" t="str">
        <x:v>No sufficient VASP match.</x:v>
      </x:c>
    </x:row>
    <x:row r="10">
      <x:c r="A10" s="62" t="str">
        <x:v>manual_review</x:v>
      </x:c>
      <x:c r="B10" s="51" t="str">
        <x:v>Conflicting or unresolved evidence.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96d62947b4da43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45" hidden="0" customWidth="1"/>
    <x:col min="4" max="4" width="14" hidden="0" customWidth="1"/>
    <x:col min="5" max="5" width="65" hidden="0" customWidth="1"/>
    <x:col min="6" max="6" width="14" hidden="0" customWidth="1"/>
    <x:col min="7" max="7" width="16" hidden="0" customWidth="1"/>
    <x:col min="8" max="8" width="72" hidden="0" customWidth="1"/>
  </x:cols>
  <x:sheetData>
    <x:row r="1" ht="28" customHeight="1">
      <x:c r="A1" s="4" t="str">
        <x:v>Sources and Evidence</x:v>
      </x:c>
      <x:c r="B1" s="4"/>
      <x:c r="C1" s="4"/>
      <x:c r="D1" s="4"/>
      <x:c r="E1" s="4"/>
      <x:c r="F1" s="4"/>
      <x:c r="G1" s="4"/>
      <x:c r="H1" s="4"/>
    </x:row>
    <x:row r="2" ht="32" customHeight="1">
      <x:c r="A2" s="8" t="str">
        <x:v>Direct public-source URLs retained per address. Source date is blank when the explorer does not publish a label date.</x:v>
      </x:c>
      <x:c r="B2" s="8"/>
      <x:c r="C2" s="8"/>
      <x:c r="D2" s="8"/>
      <x:c r="E2" s="8"/>
      <x:c r="F2" s="8"/>
      <x:c r="G2" s="8"/>
      <x:c r="H2" s="8"/>
    </x:row>
    <x:row r="4" ht="32" customHeight="1">
      <x:c r="A4" s="14" t="str">
        <x:v>Record ID</x:v>
      </x:c>
      <x:c r="B4" s="14" t="str">
        <x:v>Entity</x:v>
      </x:c>
      <x:c r="C4" s="14" t="str">
        <x:v>Address</x:v>
      </x:c>
      <x:c r="D4" s="14" t="str">
        <x:v>Source</x:v>
      </x:c>
      <x:c r="E4" s="14" t="str">
        <x:v>Source URL</x:v>
      </x:c>
      <x:c r="F4" s="14" t="str">
        <x:v>Source Date</x:v>
      </x:c>
      <x:c r="G4" s="14" t="str">
        <x:v>Last Verified</x:v>
      </x:c>
      <x:c r="H4" s="14" t="str">
        <x:v>Evidence Summary</x:v>
      </x:c>
    </x:row>
    <x:row r="5">
      <x:c r="A5" s="40" t="str">
        <x:v>eth-binance-14</x:v>
      </x:c>
      <x:c r="B5" s="41" t="str">
        <x:v>Binance</x:v>
      </x:c>
      <x:c r="C5" s="42" t="str">
        <x:f>"0x28c6c06298d514db089934071355e5743bf21d60"</x:f>
        <x:v>0x28c6c06298d514db089934071355e5743bf21d60</x:v>
      </x:c>
      <x:c r="D5" s="42" t="str">
        <x:v>Etherscan</x:v>
      </x:c>
      <x:c r="E5" s="42" t="str">
        <x:v>https://etherscan.io/address/0x28c6c06298d514db089934071355e5743bf21d60?amt=gt0</x:v>
      </x:c>
      <x:c r="F5" s="42"/>
      <x:c r="G5" s="42" t="str">
        <x:v>2026-08-31</x:v>
      </x:c>
      <x:c r="H5" s="43" t="str">
        <x:v>Etherscan labels it Binance 14 and Binance / Exchange; this identifies the service, not a customer.</x:v>
      </x:c>
    </x:row>
    <x:row r="6">
      <x:c r="A6" s="44" t="str">
        <x:v>eth-binance-deposit-e678</x:v>
      </x:c>
      <x:c r="B6" s="45" t="str">
        <x:v>Binance</x:v>
      </x:c>
      <x:c r="C6" s="46" t="str">
        <x:f>"0xe67821b76985007b4cf744b0f045c8933b3e91d9"</x:f>
        <x:v>0xe67821b76985007b4cf744b0f045c8933b3e91d9</x:v>
      </x:c>
      <x:c r="D6" s="46" t="str">
        <x:v>Etherscan</x:v>
      </x:c>
      <x:c r="E6" s="46" t="str">
        <x:v>https://etherscan.io/address/0xe67821b76985007b4cf744b0f045c8933b3e91d9?amt=1-1k</x:v>
      </x:c>
      <x:c r="F6" s="46"/>
      <x:c r="G6" s="46" t="str">
        <x:v>2026-08-31</x:v>
      </x:c>
      <x:c r="H6" s="47" t="str">
        <x:v>Etherscan labels it Binance Deposit; this is a deposit endpoint, not a customer identity.</x:v>
      </x:c>
    </x:row>
    <x:row r="7">
      <x:c r="A7" s="44" t="str">
        <x:v>eth-coinbase-12</x:v>
      </x:c>
      <x:c r="B7" s="45" t="str">
        <x:v>Coinbase</x:v>
      </x:c>
      <x:c r="C7" s="46" t="str">
        <x:f>"0x503828976d22510aad0201ac7ec88293211d23da"</x:f>
        <x:v>0x503828976d22510aad0201ac7ec88293211d23da</x:v>
      </x:c>
      <x:c r="D7" s="46" t="str">
        <x:v>Etherscan</x:v>
      </x:c>
      <x:c r="E7" s="46" t="str">
        <x:v>https://etherscan.io/address/0x503828976d22510aad0201ac7ec88293211d23da?age=1H&amp;amt=1-1m</x:v>
      </x:c>
      <x:c r="F7" s="46"/>
      <x:c r="G7" s="46" t="str">
        <x:v>2026-08-31</x:v>
      </x:c>
      <x:c r="H7" s="47" t="str">
        <x:v>Etherscan labels it Coinbase 12 and Coinbase / Exchange (also Fiat Gateway).</x:v>
      </x:c>
    </x:row>
    <x:row r="8">
      <x:c r="A8" s="44" t="str">
        <x:v>eth-kucoin-1</x:v>
      </x:c>
      <x:c r="B8" s="45" t="str">
        <x:v>KuCoin</x:v>
      </x:c>
      <x:c r="C8" s="46" t="str">
        <x:f>"0x2b5634c42055806a59e9107ed44d43c426e58258"</x:f>
        <x:v>0x2b5634c42055806a59e9107ed44d43c426e58258</x:v>
      </x:c>
      <x:c r="D8" s="46" t="str">
        <x:v>Etherscan</x:v>
      </x:c>
      <x:c r="E8" s="46" t="str">
        <x:v>https://etherscan.io/address/0x2b5634c42055806a59e9107ed44d43c426e58258?amt=1-1m</x:v>
      </x:c>
      <x:c r="F8" s="46"/>
      <x:c r="G8" s="46" t="str">
        <x:v>2026-08-31</x:v>
      </x:c>
      <x:c r="H8" s="47" t="str">
        <x:v>Etherscan labels it KuCoin 1 and KuCoin / Exchange.</x:v>
      </x:c>
    </x:row>
    <x:row r="9">
      <x:c r="A9" s="44" t="str">
        <x:v>eth-htx-1</x:v>
      </x:c>
      <x:c r="B9" s="45" t="str">
        <x:v>HTX</x:v>
      </x:c>
      <x:c r="C9" s="46" t="str">
        <x:f>"0xab5c66752a9e8167967685f1450532fb96d5d24f"</x:f>
        <x:v>0xab5c66752a9e8167967685f1450532fb96d5d24f</x:v>
      </x:c>
      <x:c r="D9" s="46" t="str">
        <x:v>Etherscan</x:v>
      </x:c>
      <x:c r="E9" s="46" t="str">
        <x:v>https://etherscan.io/address/0xab5c66752a9e8167967685f1450532fb96d5d24f</x:v>
      </x:c>
      <x:c r="F9" s="46"/>
      <x:c r="G9" s="46" t="str">
        <x:v>2026-08-31</x:v>
      </x:c>
      <x:c r="H9" s="47" t="str">
        <x:v>Etherscan labels it HTX 1; HTX is the current name of Huobi.</x:v>
      </x:c>
    </x:row>
    <x:row r="10">
      <x:c r="A10" s="44" t="str">
        <x:v>eth-bitfinex-3</x:v>
      </x:c>
      <x:c r="B10" s="45" t="str">
        <x:v>Bitfinex</x:v>
      </x:c>
      <x:c r="C10" s="46" t="str">
        <x:f>"0x876eabf441b2ee5b5b0554fd502a8e0600950cfa"</x:f>
        <x:v>0x876eabf441b2ee5b5b0554fd502a8e0600950cfa</x:v>
      </x:c>
      <x:c r="D10" s="46" t="str">
        <x:v>Etherscan</x:v>
      </x:c>
      <x:c r="E10" s="46" t="str">
        <x:v>https://etherscan.io/address/0x876eabf441b2ee5b5b0554fd502a8e0600950cfa?age=1H&amp;amt=1-10k</x:v>
      </x:c>
      <x:c r="F10" s="46"/>
      <x:c r="G10" s="46" t="str">
        <x:v>2026-08-31</x:v>
      </x:c>
      <x:c r="H10" s="47" t="str">
        <x:v>Etherscan labels it Bitfinex 3 and Bitfinex / Exchange.</x:v>
      </x:c>
    </x:row>
    <x:row r="11">
      <x:c r="A11" s="48" t="str">
        <x:v>eth-gate-deposit-0d07</x:v>
      </x:c>
      <x:c r="B11" s="49" t="str">
        <x:v>Gate.io</x:v>
      </x:c>
      <x:c r="C11" s="50" t="str">
        <x:f>"0x0d0707963952f2fba59dd06f2b425ace40b492fe"</x:f>
        <x:v>0x0d0707963952f2fba59dd06f2b425ace40b492fe</x:v>
      </x:c>
      <x:c r="D11" s="50" t="str">
        <x:v>Etherscan</x:v>
      </x:c>
      <x:c r="E11" s="50" t="str">
        <x:v>https://etherscan.io/address/0x0d0707963952f2fba59dd06f2b425ace40b492fe?amt=1-100k</x:v>
      </x:c>
      <x:c r="F11" s="50"/>
      <x:c r="G11" s="50" t="str">
        <x:v>2026-08-31</x:v>
      </x:c>
      <x:c r="H11" s="51" t="str">
        <x:v>Etherscan labels it Gate Deposit; this is a deposit endpoint, not a customer identity.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dcf32f13e6a40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0" hidden="0" customWidth="1"/>
  </x:cols>
  <x:sheetData>
    <x:row r="1" ht="28" customHeight="1">
      <x:c r="A1" s="63" t="str">
        <x:v>Limitations and Operating Boundaries</x:v>
      </x:c>
      <x:c r="B1" s="64"/>
    </x:row>
    <x:row r="2" ht="32" customHeight="1">
      <x:c r="A2" s="65" t="str">
        <x:v>Use this seed dataset as source-backed intelligence, not as a claim of customer identity or criminal attribution.</x:v>
      </x:c>
      <x:c r="B2" s="66"/>
    </x:row>
    <x:row r="4" ht="32" customHeight="1">
      <x:c r="A4" s="14" t="str">
        <x:v>#</x:v>
      </x:c>
      <x:c r="B4" s="14" t="str">
        <x:v>Limitation / Boundary</x:v>
      </x:c>
    </x:row>
    <x:row r="5">
      <x:c r="A5" s="40" t="str">
        <x:v>1</x:v>
      </x:c>
      <x:c r="B5" s="43" t="str">
        <x:v>Public explorer labels can change, be incomplete, or lag exchange wallet rotation. Refresh before production or legal use.</x:v>
      </x:c>
    </x:row>
    <x:row r="6">
      <x:c r="A6" s="44" t="str">
        <x:v>2</x:v>
      </x:c>
      <x:c r="B6" s="47" t="str">
        <x:v>A VASP attribution identifies the service, not the owner of a customer account. Customer identity requires a lawful request to the VASP.</x:v>
      </x:c>
    </x:row>
    <x:row r="7">
      <x:c r="A7" s="44" t="str">
        <x:v>3</x:v>
      </x:c>
      <x:c r="B7" s="47" t="str">
        <x:v>This release covers Ethereum only and is intentionally small. Do not reuse an address label across chains without chain-specific evidence.</x:v>
      </x:c>
    </x:row>
    <x:row r="8">
      <x:c r="A8" s="44" t="str">
        <x:v>4</x:v>
      </x:c>
      <x:c r="B8" s="47" t="str">
        <x:v>Exact matching misses unlabeled deposit addresses, routing contracts, bridges, and new wallets.</x:v>
      </x:c>
    </x:row>
    <x:row r="9">
      <x:c r="A9" s="44" t="str">
        <x:v>5</x:v>
      </x:c>
      <x:c r="B9" s="47" t="str">
        <x:v>Heuristic clustering is lead generation, not verification. Store its method, evidence, timestamps, and confidence separately.</x:v>
      </x:c>
    </x:row>
    <x:row r="10">
      <x:c r="A10" s="48" t="str">
        <x:v>6</x:v>
      </x:c>
      <x:c r="B10" s="51" t="str">
        <x:v>No heuristic-only record is included here. known_verified is reserved for an explicit public source label.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219ab932a17a4233"/>
  </x:tableParts>
</x:worksheet>
</file>